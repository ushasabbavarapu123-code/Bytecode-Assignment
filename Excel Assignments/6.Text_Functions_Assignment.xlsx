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has\OneDrive\Desktop\Data Analytics\"/>
    </mc:Choice>
  </mc:AlternateContent>
  <xr:revisionPtr revIDLastSave="0" documentId="8_{6E381658-D7FD-48DB-904F-B4649AFB02CE}" xr6:coauthVersionLast="47" xr6:coauthVersionMax="47" xr10:uidLastSave="{00000000-0000-0000-0000-000000000000}"/>
  <bookViews>
    <workbookView xWindow="-110" yWindow="-110" windowWidth="19420" windowHeight="10300" xr2:uid="{96ACA9CB-FB17-40EA-BF53-33AC9F344056}"/>
  </bookViews>
  <sheets>
    <sheet name="Sheet" sheetId="5" r:id="rId1"/>
    <sheet name="Report_Refernce" sheetId="3" r:id="rId2"/>
    <sheet name="Dataset" sheetId="2" r:id="rId3"/>
  </sheets>
  <definedNames>
    <definedName name="_xlnm._FilterDatabase" localSheetId="0" hidden="1">Sheet!$I$2:$J$4</definedName>
    <definedName name="Category">Dataset!$H$2:$H$21</definedName>
    <definedName name="Cust_Name">Dataset!$C$2:$C$21</definedName>
    <definedName name="Dayname">Dataset!$U:$U</definedName>
    <definedName name="Delivery_Date">Dataset!$F$2:$F$21</definedName>
    <definedName name="Delivery_Status">Dataset!$W$2:$W$21</definedName>
    <definedName name="Email_ID">Dataset!$I$2:$I$21</definedName>
    <definedName name="Months">Dataset!$S:$S</definedName>
    <definedName name="Order_Date">Dataset!$E$2:$E$21</definedName>
    <definedName name="Order_ID">Dataset!$B$2:$B$21</definedName>
    <definedName name="Phone">Dataset!$J$2:$J$21</definedName>
    <definedName name="Product_Name">Dataset!$G$2:$G$21</definedName>
    <definedName name="Sales_data">Dataset!$K:$K</definedName>
    <definedName name="State">Dataset!$D$2:$D$21</definedName>
    <definedName name="Years">Dataset!$R:$R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7" i="5" l="1"/>
  <c r="AB8" i="5"/>
  <c r="AB9" i="5"/>
  <c r="AB10" i="5"/>
  <c r="AB11" i="5"/>
  <c r="AB12" i="5"/>
  <c r="AB13" i="5"/>
  <c r="AB14" i="5"/>
  <c r="AB15" i="5"/>
  <c r="AB16" i="5"/>
  <c r="AB17" i="5"/>
  <c r="AB6" i="5"/>
  <c r="F14" i="5"/>
  <c r="J5" i="5"/>
  <c r="R2" i="2" a="1"/>
  <c r="R2" i="2" s="1"/>
  <c r="AB20" i="5"/>
  <c r="AB21" i="5"/>
  <c r="AB22" i="5"/>
  <c r="AB23" i="5"/>
  <c r="AB24" i="5"/>
  <c r="AB25" i="5"/>
  <c r="AB19" i="5"/>
  <c r="AB4" i="5"/>
  <c r="AB3" i="5"/>
  <c r="E14" i="5"/>
  <c r="G14" i="5" s="1"/>
  <c r="E13" i="5"/>
  <c r="G13" i="5" s="1"/>
  <c r="E12" i="5"/>
  <c r="G12" i="5" s="1"/>
  <c r="E9" i="5"/>
  <c r="G9" i="5" s="1"/>
  <c r="E11" i="5"/>
  <c r="G11" i="5" s="1"/>
  <c r="E8" i="5"/>
  <c r="G8" i="5" s="1"/>
  <c r="E10" i="5"/>
  <c r="G10" i="5" s="1"/>
  <c r="U2" i="2" a="1"/>
  <c r="U2" i="2" s="1"/>
  <c r="B4" i="5"/>
  <c r="C4" i="5" s="1"/>
  <c r="B5" i="5"/>
  <c r="C5" i="5" s="1"/>
  <c r="B6" i="5"/>
  <c r="C6" i="5" s="1"/>
  <c r="B7" i="5"/>
  <c r="C7" i="5" s="1"/>
  <c r="B8" i="5"/>
  <c r="C8" i="5" s="1"/>
  <c r="B9" i="5"/>
  <c r="C9" i="5" s="1"/>
  <c r="B10" i="5"/>
  <c r="C10" i="5" s="1"/>
  <c r="B11" i="5"/>
  <c r="C11" i="5" s="1"/>
  <c r="B12" i="5"/>
  <c r="C12" i="5" s="1"/>
  <c r="B13" i="5"/>
  <c r="C13" i="5" s="1"/>
  <c r="B14" i="5"/>
  <c r="C14" i="5" s="1"/>
  <c r="B15" i="5"/>
  <c r="C15" i="5" s="1"/>
  <c r="S2" i="2" a="1"/>
  <c r="S2" i="2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" i="2"/>
  <c r="W7" i="2"/>
  <c r="W8" i="2"/>
  <c r="W9" i="2"/>
  <c r="V3" i="2"/>
  <c r="W3" i="2" s="1"/>
  <c r="V4" i="2"/>
  <c r="W4" i="2" s="1"/>
  <c r="V5" i="2"/>
  <c r="W5" i="2" s="1"/>
  <c r="V6" i="2"/>
  <c r="W6" i="2" s="1"/>
  <c r="V7" i="2"/>
  <c r="V8" i="2"/>
  <c r="V9" i="2"/>
  <c r="V10" i="2"/>
  <c r="W10" i="2" s="1"/>
  <c r="V11" i="2"/>
  <c r="W11" i="2" s="1"/>
  <c r="V12" i="2"/>
  <c r="W12" i="2" s="1"/>
  <c r="V13" i="2"/>
  <c r="W13" i="2" s="1"/>
  <c r="V14" i="2"/>
  <c r="W14" i="2" s="1"/>
  <c r="V15" i="2"/>
  <c r="W15" i="2" s="1"/>
  <c r="V16" i="2"/>
  <c r="W16" i="2" s="1"/>
  <c r="V17" i="2"/>
  <c r="W17" i="2" s="1"/>
  <c r="V18" i="2"/>
  <c r="W18" i="2" s="1"/>
  <c r="V19" i="2"/>
  <c r="W19" i="2" s="1"/>
  <c r="V20" i="2"/>
  <c r="W20" i="2" s="1"/>
  <c r="V21" i="2"/>
  <c r="W21" i="2" s="1"/>
  <c r="V2" i="2"/>
  <c r="W2" i="2" s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" i="2"/>
  <c r="T2" i="2" a="1"/>
  <c r="T2" i="2" s="1"/>
  <c r="N4" i="2"/>
  <c r="N3" i="2"/>
  <c r="N2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M2" i="2" a="1"/>
  <c r="M2" i="2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" i="2"/>
  <c r="F13" i="5" l="1"/>
  <c r="F12" i="5"/>
  <c r="F11" i="5"/>
  <c r="F9" i="5"/>
  <c r="F10" i="5"/>
  <c r="F8" i="5"/>
  <c r="F5" i="5"/>
  <c r="G5" i="5" s="1"/>
  <c r="F4" i="5"/>
  <c r="G4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<sst xmlns="http://schemas.openxmlformats.org/spreadsheetml/2006/main" count="160" uniqueCount="118">
  <si>
    <t>Order_ID</t>
  </si>
  <si>
    <t>Cust_Name</t>
  </si>
  <si>
    <t>State</t>
  </si>
  <si>
    <t>Order_Date</t>
  </si>
  <si>
    <t>Delivery_Date</t>
  </si>
  <si>
    <t>Product_Name</t>
  </si>
  <si>
    <t>Category</t>
  </si>
  <si>
    <t>Email_ID</t>
  </si>
  <si>
    <t>Phone</t>
  </si>
  <si>
    <t>Sales</t>
  </si>
  <si>
    <t>New_cust_Name</t>
  </si>
  <si>
    <t>New_State</t>
  </si>
  <si>
    <t>New_Product_Name</t>
  </si>
  <si>
    <t>New_Category</t>
  </si>
  <si>
    <t>Gmail_New</t>
  </si>
  <si>
    <t>Phn Numbers</t>
  </si>
  <si>
    <t>Year</t>
  </si>
  <si>
    <t>Month</t>
  </si>
  <si>
    <t>Day</t>
  </si>
  <si>
    <t>Day_Name</t>
  </si>
  <si>
    <t>Delivery Delay</t>
  </si>
  <si>
    <t>Delivery Status</t>
  </si>
  <si>
    <t>ORD001</t>
  </si>
  <si>
    <t>ramesh kumar</t>
  </si>
  <si>
    <t>ap</t>
  </si>
  <si>
    <t>tshirt blue</t>
  </si>
  <si>
    <t>apparel</t>
  </si>
  <si>
    <t>ramesh@gmailcom</t>
  </si>
  <si>
    <t>ORD002</t>
  </si>
  <si>
    <t>SITA devi</t>
  </si>
  <si>
    <t>Andhra</t>
  </si>
  <si>
    <t>Jeans-Black</t>
  </si>
  <si>
    <t>ORD003</t>
  </si>
  <si>
    <t>Rahul</t>
  </si>
  <si>
    <t>AP</t>
  </si>
  <si>
    <t>sneakers white</t>
  </si>
  <si>
    <t>footwear</t>
  </si>
  <si>
    <t>rahul@gmail.com</t>
  </si>
  <si>
    <t>ORD004</t>
  </si>
  <si>
    <t>anjali reddy</t>
  </si>
  <si>
    <t>Telangana</t>
  </si>
  <si>
    <t>kurti_red</t>
  </si>
  <si>
    <t>anjali.gmail.com</t>
  </si>
  <si>
    <t>ORD005</t>
  </si>
  <si>
    <t>KIRAN</t>
  </si>
  <si>
    <t>telangana</t>
  </si>
  <si>
    <t>Shirt Blue</t>
  </si>
  <si>
    <t>Apparel</t>
  </si>
  <si>
    <t>kiran@gmailcom</t>
  </si>
  <si>
    <t>ORD006</t>
  </si>
  <si>
    <t>meena</t>
  </si>
  <si>
    <t>TS</t>
  </si>
  <si>
    <t>dress pink</t>
  </si>
  <si>
    <t>ORD007</t>
  </si>
  <si>
    <t>john doe</t>
  </si>
  <si>
    <t>john@gmailcom</t>
  </si>
  <si>
    <t>ORD008</t>
  </si>
  <si>
    <t>Pooja</t>
  </si>
  <si>
    <t>Andhra Pradesh</t>
  </si>
  <si>
    <t>jeans black</t>
  </si>
  <si>
    <t>pooja@gmail.com</t>
  </si>
  <si>
    <t>ORD009</t>
  </si>
  <si>
    <t>vikram</t>
  </si>
  <si>
    <t>vikram@gmailcom</t>
  </si>
  <si>
    <t>ORD010</t>
  </si>
  <si>
    <t>kavya</t>
  </si>
  <si>
    <t>kurti red</t>
  </si>
  <si>
    <t>ORD011</t>
  </si>
  <si>
    <t>RAMESH</t>
  </si>
  <si>
    <t>shirt blue</t>
  </si>
  <si>
    <t>ramesh@gmail.com</t>
  </si>
  <si>
    <t>ORD012</t>
  </si>
  <si>
    <t>sita devi</t>
  </si>
  <si>
    <t>jeans-black</t>
  </si>
  <si>
    <t>sita@gmailcom</t>
  </si>
  <si>
    <t>ORD013</t>
  </si>
  <si>
    <t>Rahul kumar</t>
  </si>
  <si>
    <t>andhra</t>
  </si>
  <si>
    <t>sneakers_white</t>
  </si>
  <si>
    <t>ORD014</t>
  </si>
  <si>
    <t>Anjali</t>
  </si>
  <si>
    <t>anjali@gmailcom</t>
  </si>
  <si>
    <t>ORD015</t>
  </si>
  <si>
    <t>Kiran</t>
  </si>
  <si>
    <t>Shirt blue</t>
  </si>
  <si>
    <t>ORD016</t>
  </si>
  <si>
    <t>Meena</t>
  </si>
  <si>
    <t>meena@gmailcom</t>
  </si>
  <si>
    <t>ORD017</t>
  </si>
  <si>
    <t>John</t>
  </si>
  <si>
    <t>tshirt_blue</t>
  </si>
  <si>
    <t>ORD018</t>
  </si>
  <si>
    <t>POOJA</t>
  </si>
  <si>
    <t>pooja@gmailcom</t>
  </si>
  <si>
    <t>ORD019</t>
  </si>
  <si>
    <t>Vikram</t>
  </si>
  <si>
    <t>ORD020</t>
  </si>
  <si>
    <t>Kavya</t>
  </si>
  <si>
    <t>kavya@gmailcom</t>
  </si>
  <si>
    <t>sita@gmail.com</t>
  </si>
  <si>
    <t xml:space="preserve"> </t>
  </si>
  <si>
    <t>meena@gmail.com</t>
  </si>
  <si>
    <t>kavya@gmail.com</t>
  </si>
  <si>
    <t>kiran@gmail.com</t>
  </si>
  <si>
    <t>john@gmail.com</t>
  </si>
  <si>
    <t>vikram@gmail.com</t>
  </si>
  <si>
    <t xml:space="preserve">  </t>
  </si>
  <si>
    <t>Total Sales</t>
  </si>
  <si>
    <t>On Time Delivery</t>
  </si>
  <si>
    <t>Late Delivery</t>
  </si>
  <si>
    <t>Day Name</t>
  </si>
  <si>
    <t>Count</t>
  </si>
  <si>
    <t>Select Year</t>
  </si>
  <si>
    <t>Select Month</t>
  </si>
  <si>
    <t>Mar</t>
  </si>
  <si>
    <t>Select Day</t>
  </si>
  <si>
    <t>Sun</t>
  </si>
  <si>
    <t xml:space="preserve">Total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</si>
</sst>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0" fontId="1" fillId="3" borderId="1" xfId="0" applyFont="1" applyFill="1" applyBorder="1"/>
    <xf numFmtId="0" fontId="1" fillId="2" borderId="1" xfId="0" applyFont="1" applyFill="1" applyBorder="1"/>
    <xf numFmtId="9" fontId="0" fillId="0" borderId="1" xfId="1" applyFont="1" applyBorder="1"/>
    <xf numFmtId="9" fontId="0" fillId="0" borderId="0" xfId="1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2" borderId="8" xfId="0" applyFill="1" applyBorder="1"/>
    <xf numFmtId="0" fontId="0" fillId="2" borderId="10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177800</xdr:colOff>
      <xdr:row>3</xdr:row>
      <xdr:rowOff>61056</xdr:rowOff>
    </xdr:from>
    <xdr:to>
      <xdr:col>16</xdr:col>
      <xdr:colOff>31750</xdr:colOff>
      <xdr:row>20</xdr:row>
      <xdr:rowOff>12195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3570CF-5069-C9A4-08B0-A065D91B4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400" y="613506"/>
          <a:ext cx="8997950" cy="3081689"/>
        </a:xfrm>
        <a:prstGeom prst="rect">
          <a:avLst/>
        </a:prstGeom>
        <a:ln w="19050">
          <a:solidFill>
            <a:schemeClr val="tx1">
              <a:lumMod val="85000"/>
              <a:lumOff val="15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C62C3-4C20-441B-8815-691FE494F390}">
  <dimension ref="B2:AB25"/>
  <sheetViews>
    <sheetView tabSelected="1" workbookViewId="0">
      <selection activeCell="H6" sqref="H6"/>
    </sheetView>
  </sheetViews>
  <sheetFormatPr defaultRowHeight="14.5" x14ac:dyDescent="0.35"/>
  <cols>
    <col min="2" max="2" width="13.26953125" customWidth="1"/>
    <col min="3" max="3" width="23.453125" customWidth="1"/>
    <col min="5" max="5" width="18" customWidth="1"/>
    <col min="6" max="6" width="10.7265625" customWidth="1"/>
    <col min="7" max="9" width="12.26953125" customWidth="1"/>
    <col min="14" max="14" width="10.6328125" bestFit="1" customWidth="1"/>
  </cols>
  <sheetData>
    <row r="2" spans="2:28" ht="15" thickBot="1" x14ac:dyDescent="0.4">
      <c r="I2" t="s">
        <v>112</v>
      </c>
      <c r="J2">
        <v>2024</v>
      </c>
      <c r="AB2" t="s">
        <v>16</v>
      </c>
    </row>
    <row r="3" spans="2:28" x14ac:dyDescent="0.35">
      <c r="B3" s="17" t="s">
        <v>17</v>
      </c>
      <c r="C3" s="18" t="s">
        <v>107</v>
      </c>
      <c r="E3" s="11" t="s">
        <v>21</v>
      </c>
      <c r="F3" s="12"/>
      <c r="G3" s="13"/>
      <c r="I3" t="s">
        <v>113</v>
      </c>
      <c r="J3" t="s">
        <v>114</v>
      </c>
      <c r="AB3">
        <f>INT(TEXT(Dataset!E2,"yyyy"))</f>
        <v>2023</v>
      </c>
    </row>
    <row r="4" spans="2:28" x14ac:dyDescent="0.35">
      <c r="B4" s="8" t="str">
        <f>TEXT(Dataset!E13,"mmm")</f>
        <v>Jan</v>
      </c>
      <c r="C4" s="9">
        <f>SUMIF(Months,B4,Sales_data)</f>
        <v>2600</v>
      </c>
      <c r="E4" s="1" t="s">
        <v>108</v>
      </c>
      <c r="F4" s="1">
        <f>COUNTIF(Delivery_Status,E4)</f>
        <v>8</v>
      </c>
      <c r="G4" s="6">
        <f>F4/20</f>
        <v>0.4</v>
      </c>
      <c r="H4" s="7"/>
      <c r="I4" t="s">
        <v>115</v>
      </c>
      <c r="J4" t="s">
        <v>116</v>
      </c>
      <c r="AB4">
        <f>INT(TEXT(Dataset!E13,"yyyy"))</f>
        <v>2024</v>
      </c>
    </row>
    <row r="5" spans="2:28" x14ac:dyDescent="0.35">
      <c r="B5" s="8" t="str">
        <f>TEXT(Dataset!E2,"mmm")</f>
        <v>Feb</v>
      </c>
      <c r="C5" s="9">
        <f>SUMIF(Months,B5,Sales_data)</f>
        <v>4700</v>
      </c>
      <c r="E5" s="1" t="s">
        <v>109</v>
      </c>
      <c r="F5" s="1">
        <f>COUNTIF(Delivery_Status,E5)</f>
        <v>12</v>
      </c>
      <c r="G5" s="6">
        <f>F5/20</f>
        <v>0.6</v>
      </c>
      <c r="H5" s="7"/>
      <c r="I5" t="s">
        <v>117</v>
      </c>
      <c r="J5">
        <f>SUMIFS(Sales_data,Years,J2,Months,J3,Dayname,J4)</f>
        <v>2000</v>
      </c>
    </row>
    <row r="6" spans="2:28" ht="15" thickBot="1" x14ac:dyDescent="0.4">
      <c r="B6" s="8" t="str">
        <f>TEXT(Dataset!E3,"mmm")</f>
        <v>Mar</v>
      </c>
      <c r="C6" s="9">
        <f>SUMIF(Months,B6,Sales_data)</f>
        <v>4500</v>
      </c>
      <c r="AB6" t="str">
        <f>TEXT(Dataset!E2,"mmm")</f>
        <v>Feb</v>
      </c>
    </row>
    <row r="7" spans="2:28" x14ac:dyDescent="0.35">
      <c r="B7" s="8" t="str">
        <f>TEXT(Dataset!E4,"mmm")</f>
        <v>Apr</v>
      </c>
      <c r="C7" s="9">
        <f>SUMIF(Months,B7,Sales_data)</f>
        <v>4900</v>
      </c>
      <c r="E7" s="14" t="s">
        <v>110</v>
      </c>
      <c r="F7" s="15" t="s">
        <v>9</v>
      </c>
      <c r="G7" s="16" t="s">
        <v>111</v>
      </c>
      <c r="AB7" t="str">
        <f>TEXT(Dataset!E3,"mmm")</f>
        <v>Mar</v>
      </c>
    </row>
    <row r="8" spans="2:28" x14ac:dyDescent="0.35">
      <c r="B8" s="8" t="str">
        <f>TEXT(Dataset!E5,"mmm")</f>
        <v>May</v>
      </c>
      <c r="C8" s="9">
        <f>SUMIF(Months,B8,Sales_data)</f>
        <v>4000</v>
      </c>
      <c r="E8" s="1" t="str">
        <f>TEXT(Dataset!E17,"ddd")</f>
        <v>Mon</v>
      </c>
      <c r="F8" s="1">
        <f>SUMIF(Dayname,E8,Sales_data)</f>
        <v>4300</v>
      </c>
      <c r="G8" s="1">
        <f>COUNTIF(Dayname,E8)</f>
        <v>2</v>
      </c>
      <c r="AB8" t="str">
        <f>TEXT(Dataset!E4,"mmm")</f>
        <v>Apr</v>
      </c>
    </row>
    <row r="9" spans="2:28" x14ac:dyDescent="0.35">
      <c r="B9" s="8" t="str">
        <f>TEXT(Dataset!E6,"mmm")</f>
        <v>Jun</v>
      </c>
      <c r="C9" s="9">
        <f>SUMIF(Months,B9,Sales_data)</f>
        <v>2800</v>
      </c>
      <c r="E9" s="1" t="str">
        <f>TEXT(Dataset!E8,"ddd")</f>
        <v>Tue</v>
      </c>
      <c r="F9" s="1">
        <f>SUMIF(Dayname,E9,Sales_data)</f>
        <v>2800</v>
      </c>
      <c r="G9" s="1">
        <f>COUNTIF(Dayname,E9)</f>
        <v>2</v>
      </c>
      <c r="AB9" t="str">
        <f>TEXT(Dataset!E5,"mmm")</f>
        <v>May</v>
      </c>
    </row>
    <row r="10" spans="2:28" x14ac:dyDescent="0.35">
      <c r="B10" s="8" t="str">
        <f>TEXT(Dataset!E7,"mmm")</f>
        <v>Jul</v>
      </c>
      <c r="C10" s="9">
        <f>SUMIF(Months,B10,Sales_data)</f>
        <v>4800</v>
      </c>
      <c r="E10" s="1" t="str">
        <f>TEXT(Dataset!E2,"ddd")</f>
        <v>Wed</v>
      </c>
      <c r="F10" s="1">
        <f>SUMIF(Dayname,E10,Sales_data)</f>
        <v>6000</v>
      </c>
      <c r="G10" s="1">
        <f>COUNTIF(Dayname,E10)</f>
        <v>3</v>
      </c>
      <c r="AB10" t="str">
        <f>TEXT(Dataset!E6,"mmm")</f>
        <v>Jun</v>
      </c>
    </row>
    <row r="11" spans="2:28" x14ac:dyDescent="0.35">
      <c r="B11" s="8" t="str">
        <f>TEXT(Dataset!E8,"mmm")</f>
        <v>Aug</v>
      </c>
      <c r="C11" s="9">
        <f>SUMIF(Months,B11,Sales_data)</f>
        <v>4800</v>
      </c>
      <c r="E11" s="1" t="str">
        <f>TEXT(Dataset!E11,"ddd")</f>
        <v>Thu</v>
      </c>
      <c r="F11" s="1">
        <f>SUMIF(Dayname,E11,Sales_data)</f>
        <v>9000</v>
      </c>
      <c r="G11" s="1">
        <f>COUNTIF(Dayname,E11)</f>
        <v>3</v>
      </c>
      <c r="AB11" t="str">
        <f>TEXT(Dataset!E7,"mmm")</f>
        <v>Jul</v>
      </c>
    </row>
    <row r="12" spans="2:28" x14ac:dyDescent="0.35">
      <c r="B12" s="8" t="str">
        <f>TEXT(Dataset!E9,"mmm")</f>
        <v>Sep</v>
      </c>
      <c r="C12" s="9">
        <f>SUMIF(Months,B12,Sales_data)</f>
        <v>4500</v>
      </c>
      <c r="E12" s="1" t="str">
        <f>TEXT(Dataset!E5,"ddd")</f>
        <v>Fri</v>
      </c>
      <c r="F12" s="1">
        <f>SUMIF(Dayname,E12,Sales_data)</f>
        <v>8500</v>
      </c>
      <c r="G12" s="1">
        <f>COUNTIF(Dayname,E12)</f>
        <v>4</v>
      </c>
      <c r="AB12" t="str">
        <f>TEXT(Dataset!E8,"mmm")</f>
        <v>Aug</v>
      </c>
    </row>
    <row r="13" spans="2:28" x14ac:dyDescent="0.35">
      <c r="B13" s="8" t="str">
        <f>TEXT(Dataset!E10,"mmm")</f>
        <v>Oct</v>
      </c>
      <c r="C13" s="9">
        <f>SUMIF(Months,B13,Sales_data)</f>
        <v>3300</v>
      </c>
      <c r="E13" s="1" t="str">
        <f>TEXT(Dataset!E4,"ddd")</f>
        <v>Sat</v>
      </c>
      <c r="F13" s="1">
        <f>SUMIF(Dayname,E13,Sales_data)</f>
        <v>6600</v>
      </c>
      <c r="G13" s="1">
        <f>COUNTIF(Dayname,E13)</f>
        <v>3</v>
      </c>
      <c r="AB13" t="str">
        <f>TEXT(Dataset!E9,"mmm")</f>
        <v>Sep</v>
      </c>
    </row>
    <row r="14" spans="2:28" x14ac:dyDescent="0.35">
      <c r="B14" s="8" t="str">
        <f>TEXT(Dataset!E11,"mmm")</f>
        <v>Nov</v>
      </c>
      <c r="C14" s="9">
        <f>SUMIF(Months,B14,Sales_data)</f>
        <v>1900</v>
      </c>
      <c r="E14" s="1" t="str">
        <f>TEXT(Dataset!E3,"ddd")</f>
        <v>Sun</v>
      </c>
      <c r="F14" s="1">
        <f>SUMIF(Dayname,E14,Sales_data)</f>
        <v>7200</v>
      </c>
      <c r="G14" s="1">
        <f>COUNTIF(Dayname,E14)</f>
        <v>3</v>
      </c>
      <c r="AB14" t="str">
        <f>TEXT(Dataset!E10,"mmm")</f>
        <v>Oct</v>
      </c>
    </row>
    <row r="15" spans="2:28" ht="15" thickBot="1" x14ac:dyDescent="0.4">
      <c r="B15" s="10" t="str">
        <f>TEXT(Dataset!E12,"mmm")</f>
        <v>Dec</v>
      </c>
      <c r="C15" s="9">
        <f>SUMIF(Months,B15,Sales_data)</f>
        <v>1600</v>
      </c>
      <c r="AB15" t="str">
        <f>TEXT(Dataset!E11,"mmm")</f>
        <v>Nov</v>
      </c>
    </row>
    <row r="16" spans="2:28" x14ac:dyDescent="0.35">
      <c r="AB16" t="str">
        <f>TEXT(Dataset!E12,"mmm")</f>
        <v>Dec</v>
      </c>
    </row>
    <row r="17" spans="3:28" x14ac:dyDescent="0.35">
      <c r="AB17" t="str">
        <f>TEXT(Dataset!E13,"mmm")</f>
        <v>Jan</v>
      </c>
    </row>
    <row r="18" spans="3:28" x14ac:dyDescent="0.35">
      <c r="C18" t="s">
        <v>100</v>
      </c>
    </row>
    <row r="19" spans="3:28" x14ac:dyDescent="0.35">
      <c r="AB19" t="str">
        <f>TEXT(Dataset!E2,"ddd")</f>
        <v>Wed</v>
      </c>
    </row>
    <row r="20" spans="3:28" x14ac:dyDescent="0.35">
      <c r="AB20" t="str">
        <f>TEXT(Dataset!E3,"ddd")</f>
        <v>Sun</v>
      </c>
    </row>
    <row r="21" spans="3:28" x14ac:dyDescent="0.35">
      <c r="AB21" t="str">
        <f>TEXT(Dataset!E4,"ddd")</f>
        <v>Sat</v>
      </c>
    </row>
    <row r="22" spans="3:28" x14ac:dyDescent="0.35">
      <c r="AB22" t="str">
        <f>TEXT(Dataset!E5,"ddd")</f>
        <v>Fri</v>
      </c>
    </row>
    <row r="23" spans="3:28" x14ac:dyDescent="0.35">
      <c r="AB23" t="str">
        <f>TEXT(Dataset!E8,"ddd")</f>
        <v>Tue</v>
      </c>
    </row>
    <row r="24" spans="3:28" x14ac:dyDescent="0.35">
      <c r="AB24" t="str">
        <f>TEXT(Dataset!E11,"ddd")</f>
        <v>Thu</v>
      </c>
    </row>
    <row r="25" spans="3:28" x14ac:dyDescent="0.35">
      <c r="AB25" t="str">
        <f>TEXT(Dataset!E17,"ddd")</f>
        <v>Mon</v>
      </c>
    </row>
  </sheetData>
  <sortState xmlns:xlrd2="http://schemas.microsoft.com/office/spreadsheetml/2017/richdata2" ref="E8:E14">
    <sortCondition ref="E8:E14" customList="Mon,Tue,Wed,Thu,Fri,Sat,Sun"/>
  </sortState>
  <mergeCells count="1">
    <mergeCell ref="E3:G3"/>
  </mergeCells>
  <conditionalFormatting sqref="C4:C1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{1A59B20E-B5E3-484F-BFAC-8E2DA0E71A52}</x14:id>
        </ext>
      </extLst>
    </cfRule>
  </conditionalFormatting>
  <dataValidations count="3">
    <dataValidation type="list" allowBlank="1" showInputMessage="1" showErrorMessage="1" sqref="J2" xr:uid="{6A2496E7-0DBD-4EEE-BEE6-A7B7B0D1C699}">
      <formula1>$AB$3:$AB$4</formula1>
    </dataValidation>
    <dataValidation type="list" allowBlank="1" showInputMessage="1" showErrorMessage="1" sqref="J3" xr:uid="{7A29CD8C-9233-478A-B9E1-371E8346F159}">
      <formula1>$AB$6:$AB$17</formula1>
    </dataValidation>
    <dataValidation type="list" allowBlank="1" showInputMessage="1" showErrorMessage="1" sqref="J4" xr:uid="{19011B7D-3781-44BC-BCE5-671C55470F8D}">
      <formula1>$AB$19:$AB$25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59B20E-B5E3-484F-BFAC-8E2DA0E71A5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C4:C15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2BBB-F8E1-47B4-8B45-702A6F792056}">
  <dimension ref="F23"/>
  <sheetViews>
    <sheetView showGridLines="0" topLeftCell="A2" workbookViewId="0">
      <selection activeCell="F23" sqref="F23"/>
    </sheetView>
  </sheetViews>
  <sheetFormatPr defaultRowHeight="14.5" x14ac:dyDescent="0.35"/>
  <sheetData>
    <row r="23" spans="6:6" x14ac:dyDescent="0.35">
      <c r="F23" t="s">
        <v>106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5DBAA-02DF-47D4-B694-8D574CD52622}">
  <dimension ref="B1:W22"/>
  <sheetViews>
    <sheetView zoomScale="102" workbookViewId="0">
      <selection activeCell="U1" sqref="U1:U1048576"/>
    </sheetView>
  </sheetViews>
  <sheetFormatPr defaultRowHeight="14.5" x14ac:dyDescent="0.35"/>
  <cols>
    <col min="2" max="2" width="14.81640625" customWidth="1"/>
    <col min="3" max="3" width="16" customWidth="1"/>
    <col min="4" max="4" width="14.26953125" bestFit="1" customWidth="1"/>
    <col min="5" max="5" width="10.6328125" bestFit="1" customWidth="1"/>
    <col min="6" max="6" width="12.453125" bestFit="1" customWidth="1"/>
    <col min="7" max="7" width="13.90625" bestFit="1" customWidth="1"/>
    <col min="8" max="8" width="8.453125" bestFit="1" customWidth="1"/>
    <col min="9" max="9" width="18.90625" bestFit="1" customWidth="1"/>
    <col min="10" max="10" width="19.54296875" customWidth="1"/>
    <col min="11" max="11" width="13.90625" customWidth="1"/>
    <col min="12" max="12" width="16.6328125" customWidth="1"/>
    <col min="13" max="13" width="16.1796875" customWidth="1"/>
    <col min="14" max="23" width="16.6328125" customWidth="1"/>
  </cols>
  <sheetData>
    <row r="1" spans="2:23" x14ac:dyDescent="0.3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</row>
    <row r="2" spans="2:23" x14ac:dyDescent="0.35">
      <c r="B2" s="1" t="s">
        <v>22</v>
      </c>
      <c r="C2" s="1" t="s">
        <v>23</v>
      </c>
      <c r="D2" s="1" t="s">
        <v>24</v>
      </c>
      <c r="E2" s="2">
        <v>44958</v>
      </c>
      <c r="F2" s="2">
        <v>44962</v>
      </c>
      <c r="G2" s="1" t="s">
        <v>25</v>
      </c>
      <c r="H2" s="1" t="s">
        <v>26</v>
      </c>
      <c r="I2" s="1" t="s">
        <v>27</v>
      </c>
      <c r="J2" s="3">
        <v>9876543210</v>
      </c>
      <c r="K2" s="1">
        <v>1200</v>
      </c>
      <c r="L2" s="1" t="str">
        <f>PROPER(C2)</f>
        <v>Ramesh Kumar</v>
      </c>
      <c r="M2" s="1" t="str" cm="1">
        <f t="array" ref="M2:M21">_xlfn.SWITCH(State,"ap","Andhra Pradesh","andhra","Andhra Pradesh","Andhra Pradesh","Andhra Pradesh","TS","Telangana","telangana","Telangana")</f>
        <v>Andhra Pradesh</v>
      </c>
      <c r="N2" s="1" t="str">
        <f>PROPER(SUBSTITUTE(SUBSTITUTE(G2,"-"," "),"_"," "))</f>
        <v>Tshirt Blue</v>
      </c>
      <c r="O2" s="1" t="str">
        <f>PROPER(H2)</f>
        <v>Apparel</v>
      </c>
      <c r="P2" s="1" t="str">
        <f>SUBSTITUTE(SUBSTITUTE(I2,"@gmailcom","@gamil.com"),".gmail","@gmail")</f>
        <v>ramesh@gamil.com</v>
      </c>
      <c r="Q2" s="1" t="str">
        <f>SUBSTITUTE(J2,91,"")</f>
        <v>9876543210</v>
      </c>
      <c r="R2" s="1" cm="1">
        <f t="array" ref="R2:R21">INT(TEXT(Order_Date,"yyyy"))</f>
        <v>2023</v>
      </c>
      <c r="S2" s="1" t="str" cm="1">
        <f t="array" ref="S2:S21">TEXT(Order_Date,"mmm")</f>
        <v>Feb</v>
      </c>
      <c r="T2" s="1" t="str" cm="1">
        <f t="array" ref="T2:T21">TEXT(Order_Date,"dd")</f>
        <v>01</v>
      </c>
      <c r="U2" s="1" t="str" cm="1">
        <f t="array" ref="U2:U21">TEXT(Order_Date,"ddd")</f>
        <v>Wed</v>
      </c>
      <c r="V2" s="1">
        <f>F2-E2</f>
        <v>4</v>
      </c>
      <c r="W2" s="1" t="str">
        <f>IF(V2&gt;5,"Late Delivery","On Time Delivery")</f>
        <v>On Time Delivery</v>
      </c>
    </row>
    <row r="3" spans="2:23" x14ac:dyDescent="0.35">
      <c r="B3" s="1" t="s">
        <v>28</v>
      </c>
      <c r="C3" s="1" t="s">
        <v>29</v>
      </c>
      <c r="D3" s="1" t="s">
        <v>30</v>
      </c>
      <c r="E3" s="2">
        <v>44990</v>
      </c>
      <c r="F3" s="2">
        <v>44995</v>
      </c>
      <c r="G3" s="1" t="s">
        <v>31</v>
      </c>
      <c r="H3" s="1" t="s">
        <v>26</v>
      </c>
      <c r="I3" s="1" t="s">
        <v>99</v>
      </c>
      <c r="J3" s="3">
        <v>919876543211</v>
      </c>
      <c r="K3" s="1">
        <v>2500</v>
      </c>
      <c r="L3" s="1" t="str">
        <f t="shared" ref="L3:L21" si="0">PROPER(C3)</f>
        <v>Sita Devi</v>
      </c>
      <c r="M3" s="1" t="str">
        <v>Andhra Pradesh</v>
      </c>
      <c r="N3" s="1" t="str">
        <f>PROPER(SUBSTITUTE(SUBSTITUTE(G3,"-"," "),"_"," "))</f>
        <v>Jeans Black</v>
      </c>
      <c r="O3" s="1" t="str">
        <f t="shared" ref="O3:O21" si="1">PROPER(H3)</f>
        <v>Apparel</v>
      </c>
      <c r="P3" s="1" t="str">
        <f t="shared" ref="P3:P22" si="2">SUBSTITUTE(SUBSTITUTE(I3,"@gmailcom","@gamil.com"),".gmail","@gmail")</f>
        <v>sita@gmail.com</v>
      </c>
      <c r="Q3" s="1" t="str">
        <f t="shared" ref="Q3:Q22" si="3">SUBSTITUTE(J3,91,"")</f>
        <v>9876543211</v>
      </c>
      <c r="R3" s="1">
        <v>2023</v>
      </c>
      <c r="S3" s="1" t="str">
        <v>Mar</v>
      </c>
      <c r="T3" s="1" t="str">
        <v>05</v>
      </c>
      <c r="U3" s="1" t="str">
        <v>Sun</v>
      </c>
      <c r="V3" s="1">
        <f t="shared" ref="V3:V21" si="4">F3-E3</f>
        <v>5</v>
      </c>
      <c r="W3" s="1" t="str">
        <f t="shared" ref="W3:W21" si="5">IF(V3&gt;5,"Late Delivery","On Time Delivery")</f>
        <v>On Time Delivery</v>
      </c>
    </row>
    <row r="4" spans="2:23" x14ac:dyDescent="0.35">
      <c r="B4" s="1" t="s">
        <v>32</v>
      </c>
      <c r="C4" s="1" t="s">
        <v>33</v>
      </c>
      <c r="D4" s="1" t="s">
        <v>34</v>
      </c>
      <c r="E4" s="2">
        <v>45031</v>
      </c>
      <c r="F4" s="2">
        <v>45036</v>
      </c>
      <c r="G4" s="1" t="s">
        <v>35</v>
      </c>
      <c r="H4" s="1" t="s">
        <v>36</v>
      </c>
      <c r="I4" s="1" t="s">
        <v>37</v>
      </c>
      <c r="J4" s="3">
        <v>987654321</v>
      </c>
      <c r="K4" s="1">
        <v>3200</v>
      </c>
      <c r="L4" s="1" t="str">
        <f t="shared" si="0"/>
        <v>Rahul</v>
      </c>
      <c r="M4" s="1" t="str">
        <v>Andhra Pradesh</v>
      </c>
      <c r="N4" s="1" t="str">
        <f>PROPER(SUBSTITUTE(SUBSTITUTE(G4,"-"," "),"_"," "))</f>
        <v>Sneakers White</v>
      </c>
      <c r="O4" s="1" t="str">
        <f t="shared" si="1"/>
        <v>Footwear</v>
      </c>
      <c r="P4" s="1" t="str">
        <f t="shared" si="2"/>
        <v>rahul@gmail.com</v>
      </c>
      <c r="Q4" s="1" t="str">
        <f t="shared" si="3"/>
        <v>987654321</v>
      </c>
      <c r="R4" s="1">
        <v>2023</v>
      </c>
      <c r="S4" s="1" t="str">
        <v>Apr</v>
      </c>
      <c r="T4" s="1" t="str">
        <v>15</v>
      </c>
      <c r="U4" s="1" t="str">
        <v>Sat</v>
      </c>
      <c r="V4" s="1">
        <f t="shared" si="4"/>
        <v>5</v>
      </c>
      <c r="W4" s="1" t="str">
        <f t="shared" si="5"/>
        <v>On Time Delivery</v>
      </c>
    </row>
    <row r="5" spans="2:23" x14ac:dyDescent="0.35">
      <c r="B5" s="1" t="s">
        <v>38</v>
      </c>
      <c r="C5" s="1" t="s">
        <v>39</v>
      </c>
      <c r="D5" s="1" t="s">
        <v>40</v>
      </c>
      <c r="E5" s="2">
        <v>45058</v>
      </c>
      <c r="F5" s="2">
        <v>45064</v>
      </c>
      <c r="G5" s="1" t="s">
        <v>41</v>
      </c>
      <c r="H5" s="1" t="s">
        <v>26</v>
      </c>
      <c r="I5" s="1" t="s">
        <v>42</v>
      </c>
      <c r="J5" s="3">
        <v>9876543210</v>
      </c>
      <c r="K5" s="1">
        <v>1800</v>
      </c>
      <c r="L5" s="1" t="str">
        <f t="shared" si="0"/>
        <v>Anjali Reddy</v>
      </c>
      <c r="M5" s="1" t="str">
        <v>Telangana</v>
      </c>
      <c r="N5" s="1" t="str">
        <f t="shared" ref="N5:N21" si="6">PROPER(SUBSTITUTE(SUBSTITUTE(G5,"-"," "),"_"," "))</f>
        <v>Kurti Red</v>
      </c>
      <c r="O5" s="1" t="str">
        <f t="shared" si="1"/>
        <v>Apparel</v>
      </c>
      <c r="P5" s="1" t="str">
        <f t="shared" si="2"/>
        <v>anjali@gmail.com</v>
      </c>
      <c r="Q5" s="1" t="str">
        <f t="shared" si="3"/>
        <v>9876543210</v>
      </c>
      <c r="R5" s="1">
        <v>2023</v>
      </c>
      <c r="S5" s="1" t="str">
        <v>May</v>
      </c>
      <c r="T5" s="1" t="str">
        <v>12</v>
      </c>
      <c r="U5" s="1" t="str">
        <v>Fri</v>
      </c>
      <c r="V5" s="1">
        <f t="shared" si="4"/>
        <v>6</v>
      </c>
      <c r="W5" s="1" t="str">
        <f t="shared" si="5"/>
        <v>Late Delivery</v>
      </c>
    </row>
    <row r="6" spans="2:23" x14ac:dyDescent="0.35">
      <c r="B6" s="1" t="s">
        <v>43</v>
      </c>
      <c r="C6" s="1" t="s">
        <v>44</v>
      </c>
      <c r="D6" s="1" t="s">
        <v>45</v>
      </c>
      <c r="E6" s="2">
        <v>45084</v>
      </c>
      <c r="F6" s="2">
        <v>45089</v>
      </c>
      <c r="G6" s="1" t="s">
        <v>46</v>
      </c>
      <c r="H6" s="1" t="s">
        <v>47</v>
      </c>
      <c r="I6" s="1" t="s">
        <v>48</v>
      </c>
      <c r="J6" s="3">
        <v>9876543210</v>
      </c>
      <c r="K6" s="1">
        <v>1500</v>
      </c>
      <c r="L6" s="1" t="str">
        <f t="shared" si="0"/>
        <v>Kiran</v>
      </c>
      <c r="M6" s="1" t="str">
        <v>Telangana</v>
      </c>
      <c r="N6" s="1" t="str">
        <f t="shared" si="6"/>
        <v>Shirt Blue</v>
      </c>
      <c r="O6" s="1" t="str">
        <f t="shared" si="1"/>
        <v>Apparel</v>
      </c>
      <c r="P6" s="1" t="str">
        <f t="shared" si="2"/>
        <v>kiran@gamil.com</v>
      </c>
      <c r="Q6" s="1" t="str">
        <f t="shared" si="3"/>
        <v>9876543210</v>
      </c>
      <c r="R6" s="1">
        <v>2023</v>
      </c>
      <c r="S6" s="1" t="str">
        <v>Jun</v>
      </c>
      <c r="T6" s="1" t="str">
        <v>07</v>
      </c>
      <c r="U6" s="1" t="str">
        <v>Wed</v>
      </c>
      <c r="V6" s="1">
        <f t="shared" si="4"/>
        <v>5</v>
      </c>
      <c r="W6" s="1" t="str">
        <f t="shared" si="5"/>
        <v>On Time Delivery</v>
      </c>
    </row>
    <row r="7" spans="2:23" x14ac:dyDescent="0.35">
      <c r="B7" s="1" t="s">
        <v>49</v>
      </c>
      <c r="C7" s="1" t="s">
        <v>50</v>
      </c>
      <c r="D7" s="1" t="s">
        <v>51</v>
      </c>
      <c r="E7" s="2">
        <v>45115</v>
      </c>
      <c r="F7" s="2">
        <v>45121</v>
      </c>
      <c r="G7" s="1" t="s">
        <v>52</v>
      </c>
      <c r="H7" s="1" t="s">
        <v>26</v>
      </c>
      <c r="I7" s="1" t="s">
        <v>101</v>
      </c>
      <c r="J7" s="3">
        <v>919876543210</v>
      </c>
      <c r="K7" s="1">
        <v>2100</v>
      </c>
      <c r="L7" s="1" t="str">
        <f t="shared" si="0"/>
        <v>Meena</v>
      </c>
      <c r="M7" s="1" t="str">
        <v>Telangana</v>
      </c>
      <c r="N7" s="1" t="str">
        <f t="shared" si="6"/>
        <v>Dress Pink</v>
      </c>
      <c r="O7" s="1" t="str">
        <f t="shared" si="1"/>
        <v>Apparel</v>
      </c>
      <c r="P7" s="1" t="str">
        <f t="shared" si="2"/>
        <v>meena@gmail.com</v>
      </c>
      <c r="Q7" s="1" t="str">
        <f t="shared" si="3"/>
        <v>9876543210</v>
      </c>
      <c r="R7" s="1">
        <v>2023</v>
      </c>
      <c r="S7" s="1" t="str">
        <v>Jul</v>
      </c>
      <c r="T7" s="1" t="str">
        <v>08</v>
      </c>
      <c r="U7" s="1" t="str">
        <v>Sat</v>
      </c>
      <c r="V7" s="1">
        <f t="shared" si="4"/>
        <v>6</v>
      </c>
      <c r="W7" s="1" t="str">
        <f t="shared" si="5"/>
        <v>Late Delivery</v>
      </c>
    </row>
    <row r="8" spans="2:23" x14ac:dyDescent="0.35">
      <c r="B8" s="1" t="s">
        <v>53</v>
      </c>
      <c r="C8" s="1" t="s">
        <v>54</v>
      </c>
      <c r="D8" s="1" t="s">
        <v>24</v>
      </c>
      <c r="E8" s="2">
        <v>45146</v>
      </c>
      <c r="F8" s="2">
        <v>45153</v>
      </c>
      <c r="G8" s="1" t="s">
        <v>25</v>
      </c>
      <c r="H8" s="1" t="s">
        <v>47</v>
      </c>
      <c r="I8" s="1" t="s">
        <v>55</v>
      </c>
      <c r="J8" s="3">
        <v>9876543210</v>
      </c>
      <c r="K8" s="1">
        <v>1200</v>
      </c>
      <c r="L8" s="1" t="str">
        <f t="shared" si="0"/>
        <v>John Doe</v>
      </c>
      <c r="M8" s="1" t="str">
        <v>Andhra Pradesh</v>
      </c>
      <c r="N8" s="1" t="str">
        <f t="shared" si="6"/>
        <v>Tshirt Blue</v>
      </c>
      <c r="O8" s="1" t="str">
        <f t="shared" si="1"/>
        <v>Apparel</v>
      </c>
      <c r="P8" s="1" t="str">
        <f t="shared" si="2"/>
        <v>john@gamil.com</v>
      </c>
      <c r="Q8" s="1" t="str">
        <f t="shared" si="3"/>
        <v>9876543210</v>
      </c>
      <c r="R8" s="1">
        <v>2023</v>
      </c>
      <c r="S8" s="1" t="str">
        <v>Aug</v>
      </c>
      <c r="T8" s="1" t="str">
        <v>08</v>
      </c>
      <c r="U8" s="1" t="str">
        <v>Tue</v>
      </c>
      <c r="V8" s="1">
        <f t="shared" si="4"/>
        <v>7</v>
      </c>
      <c r="W8" s="1" t="str">
        <f t="shared" si="5"/>
        <v>Late Delivery</v>
      </c>
    </row>
    <row r="9" spans="2:23" x14ac:dyDescent="0.35">
      <c r="B9" s="1" t="s">
        <v>56</v>
      </c>
      <c r="C9" s="1" t="s">
        <v>57</v>
      </c>
      <c r="D9" s="1" t="s">
        <v>58</v>
      </c>
      <c r="E9" s="2">
        <v>45170</v>
      </c>
      <c r="F9" s="2">
        <v>45176</v>
      </c>
      <c r="G9" s="1" t="s">
        <v>59</v>
      </c>
      <c r="H9" s="1" t="s">
        <v>26</v>
      </c>
      <c r="I9" s="1" t="s">
        <v>60</v>
      </c>
      <c r="J9" s="3">
        <v>9876543211</v>
      </c>
      <c r="K9" s="1">
        <v>2400</v>
      </c>
      <c r="L9" s="1" t="str">
        <f t="shared" si="0"/>
        <v>Pooja</v>
      </c>
      <c r="M9" s="1" t="str">
        <v>Andhra Pradesh</v>
      </c>
      <c r="N9" s="1" t="str">
        <f t="shared" si="6"/>
        <v>Jeans Black</v>
      </c>
      <c r="O9" s="1" t="str">
        <f t="shared" si="1"/>
        <v>Apparel</v>
      </c>
      <c r="P9" s="1" t="str">
        <f t="shared" si="2"/>
        <v>pooja@gmail.com</v>
      </c>
      <c r="Q9" s="1" t="str">
        <f t="shared" si="3"/>
        <v>9876543211</v>
      </c>
      <c r="R9" s="1">
        <v>2023</v>
      </c>
      <c r="S9" s="1" t="str">
        <v>Sep</v>
      </c>
      <c r="T9" s="1" t="str">
        <v>01</v>
      </c>
      <c r="U9" s="1" t="str">
        <v>Fri</v>
      </c>
      <c r="V9" s="1">
        <f t="shared" si="4"/>
        <v>6</v>
      </c>
      <c r="W9" s="1" t="str">
        <f t="shared" si="5"/>
        <v>Late Delivery</v>
      </c>
    </row>
    <row r="10" spans="2:23" x14ac:dyDescent="0.35">
      <c r="B10" s="1" t="s">
        <v>61</v>
      </c>
      <c r="C10" s="1" t="s">
        <v>62</v>
      </c>
      <c r="D10" s="1" t="s">
        <v>34</v>
      </c>
      <c r="E10" s="2">
        <v>45210</v>
      </c>
      <c r="F10" s="2">
        <v>45217</v>
      </c>
      <c r="G10" s="1" t="s">
        <v>35</v>
      </c>
      <c r="H10" s="1" t="s">
        <v>36</v>
      </c>
      <c r="I10" s="1" t="s">
        <v>63</v>
      </c>
      <c r="J10" s="3">
        <v>9876543212</v>
      </c>
      <c r="K10" s="1">
        <v>3300</v>
      </c>
      <c r="L10" s="1" t="str">
        <f t="shared" si="0"/>
        <v>Vikram</v>
      </c>
      <c r="M10" s="1" t="str">
        <v>Andhra Pradesh</v>
      </c>
      <c r="N10" s="1" t="str">
        <f t="shared" si="6"/>
        <v>Sneakers White</v>
      </c>
      <c r="O10" s="1" t="str">
        <f t="shared" si="1"/>
        <v>Footwear</v>
      </c>
      <c r="P10" s="1" t="str">
        <f t="shared" si="2"/>
        <v>vikram@gamil.com</v>
      </c>
      <c r="Q10" s="1" t="str">
        <f t="shared" si="3"/>
        <v>9876543212</v>
      </c>
      <c r="R10" s="1">
        <v>2023</v>
      </c>
      <c r="S10" s="1" t="str">
        <v>Oct</v>
      </c>
      <c r="T10" s="1" t="str">
        <v>11</v>
      </c>
      <c r="U10" s="1" t="str">
        <v>Wed</v>
      </c>
      <c r="V10" s="1">
        <f t="shared" si="4"/>
        <v>7</v>
      </c>
      <c r="W10" s="1" t="str">
        <f t="shared" si="5"/>
        <v>Late Delivery</v>
      </c>
    </row>
    <row r="11" spans="2:23" x14ac:dyDescent="0.35">
      <c r="B11" s="1" t="s">
        <v>64</v>
      </c>
      <c r="C11" s="1" t="s">
        <v>65</v>
      </c>
      <c r="D11" s="1" t="s">
        <v>45</v>
      </c>
      <c r="E11" s="2">
        <v>45232</v>
      </c>
      <c r="F11" s="2">
        <v>45238</v>
      </c>
      <c r="G11" s="1" t="s">
        <v>66</v>
      </c>
      <c r="H11" s="1" t="s">
        <v>26</v>
      </c>
      <c r="I11" s="1" t="s">
        <v>102</v>
      </c>
      <c r="J11" s="3">
        <v>9876543213</v>
      </c>
      <c r="K11" s="1">
        <v>1900</v>
      </c>
      <c r="L11" s="1" t="str">
        <f t="shared" si="0"/>
        <v>Kavya</v>
      </c>
      <c r="M11" s="1" t="str">
        <v>Telangana</v>
      </c>
      <c r="N11" s="1" t="str">
        <f t="shared" si="6"/>
        <v>Kurti Red</v>
      </c>
      <c r="O11" s="1" t="str">
        <f t="shared" si="1"/>
        <v>Apparel</v>
      </c>
      <c r="P11" s="1" t="str">
        <f t="shared" si="2"/>
        <v>kavya@gmail.com</v>
      </c>
      <c r="Q11" s="1" t="str">
        <f t="shared" si="3"/>
        <v>9876543213</v>
      </c>
      <c r="R11" s="1">
        <v>2023</v>
      </c>
      <c r="S11" s="1" t="str">
        <v>Nov</v>
      </c>
      <c r="T11" s="1" t="str">
        <v>02</v>
      </c>
      <c r="U11" s="1" t="str">
        <v>Thu</v>
      </c>
      <c r="V11" s="1">
        <f t="shared" si="4"/>
        <v>6</v>
      </c>
      <c r="W11" s="1" t="str">
        <f t="shared" si="5"/>
        <v>Late Delivery</v>
      </c>
    </row>
    <row r="12" spans="2:23" x14ac:dyDescent="0.35">
      <c r="B12" s="1" t="s">
        <v>67</v>
      </c>
      <c r="C12" s="1" t="s">
        <v>68</v>
      </c>
      <c r="D12" s="1" t="s">
        <v>24</v>
      </c>
      <c r="E12" s="2">
        <v>45272</v>
      </c>
      <c r="F12" s="2">
        <v>45278</v>
      </c>
      <c r="G12" s="1" t="s">
        <v>69</v>
      </c>
      <c r="H12" s="1" t="s">
        <v>26</v>
      </c>
      <c r="I12" s="1" t="s">
        <v>70</v>
      </c>
      <c r="J12" s="3">
        <v>9876543214</v>
      </c>
      <c r="K12" s="1">
        <v>1600</v>
      </c>
      <c r="L12" s="1" t="str">
        <f t="shared" si="0"/>
        <v>Ramesh</v>
      </c>
      <c r="M12" s="1" t="str">
        <v>Andhra Pradesh</v>
      </c>
      <c r="N12" s="1" t="str">
        <f t="shared" si="6"/>
        <v>Shirt Blue</v>
      </c>
      <c r="O12" s="1" t="str">
        <f t="shared" si="1"/>
        <v>Apparel</v>
      </c>
      <c r="P12" s="1" t="str">
        <f t="shared" si="2"/>
        <v>ramesh@gmail.com</v>
      </c>
      <c r="Q12" s="1" t="str">
        <f t="shared" si="3"/>
        <v>9876543214</v>
      </c>
      <c r="R12" s="1">
        <v>2023</v>
      </c>
      <c r="S12" s="1" t="str">
        <v>Dec</v>
      </c>
      <c r="T12" s="1" t="str">
        <v>12</v>
      </c>
      <c r="U12" s="1" t="str">
        <v>Tue</v>
      </c>
      <c r="V12" s="1">
        <f t="shared" si="4"/>
        <v>6</v>
      </c>
      <c r="W12" s="1" t="str">
        <f t="shared" si="5"/>
        <v>Late Delivery</v>
      </c>
    </row>
    <row r="13" spans="2:23" x14ac:dyDescent="0.35">
      <c r="B13" s="1" t="s">
        <v>71</v>
      </c>
      <c r="C13" s="1" t="s">
        <v>72</v>
      </c>
      <c r="D13" s="1" t="s">
        <v>34</v>
      </c>
      <c r="E13" s="2">
        <v>45296</v>
      </c>
      <c r="F13" s="2">
        <v>45301</v>
      </c>
      <c r="G13" s="1" t="s">
        <v>73</v>
      </c>
      <c r="H13" s="1" t="s">
        <v>26</v>
      </c>
      <c r="I13" s="1" t="s">
        <v>74</v>
      </c>
      <c r="J13" s="3">
        <v>9876543215</v>
      </c>
      <c r="K13" s="1">
        <v>2600</v>
      </c>
      <c r="L13" s="1" t="str">
        <f t="shared" si="0"/>
        <v>Sita Devi</v>
      </c>
      <c r="M13" s="1" t="str">
        <v>Andhra Pradesh</v>
      </c>
      <c r="N13" s="1" t="str">
        <f t="shared" si="6"/>
        <v>Jeans Black</v>
      </c>
      <c r="O13" s="1" t="str">
        <f t="shared" si="1"/>
        <v>Apparel</v>
      </c>
      <c r="P13" s="1" t="str">
        <f t="shared" si="2"/>
        <v>sita@gamil.com</v>
      </c>
      <c r="Q13" s="1" t="str">
        <f t="shared" si="3"/>
        <v>9876543215</v>
      </c>
      <c r="R13" s="1">
        <v>2024</v>
      </c>
      <c r="S13" s="1" t="str">
        <v>Jan</v>
      </c>
      <c r="T13" s="1" t="str">
        <v>05</v>
      </c>
      <c r="U13" s="1" t="str">
        <v>Fri</v>
      </c>
      <c r="V13" s="1">
        <f t="shared" si="4"/>
        <v>5</v>
      </c>
      <c r="W13" s="1" t="str">
        <f t="shared" si="5"/>
        <v>On Time Delivery</v>
      </c>
    </row>
    <row r="14" spans="2:23" x14ac:dyDescent="0.35">
      <c r="B14" s="1" t="s">
        <v>75</v>
      </c>
      <c r="C14" s="1" t="s">
        <v>76</v>
      </c>
      <c r="D14" s="1" t="s">
        <v>77</v>
      </c>
      <c r="E14" s="2">
        <v>45337</v>
      </c>
      <c r="F14" s="2">
        <v>45342</v>
      </c>
      <c r="G14" s="1" t="s">
        <v>78</v>
      </c>
      <c r="H14" s="1" t="s">
        <v>36</v>
      </c>
      <c r="I14" s="1" t="s">
        <v>37</v>
      </c>
      <c r="J14" s="3">
        <v>9876543216</v>
      </c>
      <c r="K14" s="1">
        <v>3500</v>
      </c>
      <c r="L14" s="1" t="str">
        <f t="shared" si="0"/>
        <v>Rahul Kumar</v>
      </c>
      <c r="M14" s="1" t="str">
        <v>Andhra Pradesh</v>
      </c>
      <c r="N14" s="1" t="str">
        <f t="shared" si="6"/>
        <v>Sneakers White</v>
      </c>
      <c r="O14" s="1" t="str">
        <f t="shared" si="1"/>
        <v>Footwear</v>
      </c>
      <c r="P14" s="1" t="str">
        <f t="shared" si="2"/>
        <v>rahul@gmail.com</v>
      </c>
      <c r="Q14" s="1" t="str">
        <f t="shared" si="3"/>
        <v>9876543216</v>
      </c>
      <c r="R14" s="1">
        <v>2024</v>
      </c>
      <c r="S14" s="1" t="str">
        <v>Feb</v>
      </c>
      <c r="T14" s="1" t="str">
        <v>15</v>
      </c>
      <c r="U14" s="1" t="str">
        <v>Thu</v>
      </c>
      <c r="V14" s="1">
        <f t="shared" si="4"/>
        <v>5</v>
      </c>
      <c r="W14" s="1" t="str">
        <f t="shared" si="5"/>
        <v>On Time Delivery</v>
      </c>
    </row>
    <row r="15" spans="2:23" x14ac:dyDescent="0.35">
      <c r="B15" s="1" t="s">
        <v>79</v>
      </c>
      <c r="C15" s="1" t="s">
        <v>80</v>
      </c>
      <c r="D15" s="1" t="s">
        <v>51</v>
      </c>
      <c r="E15" s="2">
        <v>45361</v>
      </c>
      <c r="F15" s="2">
        <v>45367</v>
      </c>
      <c r="G15" s="1" t="s">
        <v>41</v>
      </c>
      <c r="H15" s="1" t="s">
        <v>26</v>
      </c>
      <c r="I15" s="1" t="s">
        <v>81</v>
      </c>
      <c r="J15" s="3">
        <v>9876543217</v>
      </c>
      <c r="K15" s="1">
        <v>2000</v>
      </c>
      <c r="L15" s="1" t="str">
        <f t="shared" si="0"/>
        <v>Anjali</v>
      </c>
      <c r="M15" s="1" t="str">
        <v>Telangana</v>
      </c>
      <c r="N15" s="1" t="str">
        <f t="shared" si="6"/>
        <v>Kurti Red</v>
      </c>
      <c r="O15" s="1" t="str">
        <f t="shared" si="1"/>
        <v>Apparel</v>
      </c>
      <c r="P15" s="1" t="str">
        <f t="shared" si="2"/>
        <v>anjali@gamil.com</v>
      </c>
      <c r="Q15" s="1" t="str">
        <f t="shared" si="3"/>
        <v>9876543217</v>
      </c>
      <c r="R15" s="1">
        <v>2024</v>
      </c>
      <c r="S15" s="1" t="str">
        <v>Mar</v>
      </c>
      <c r="T15" s="1" t="str">
        <v>10</v>
      </c>
      <c r="U15" s="1" t="str">
        <v>Sun</v>
      </c>
      <c r="V15" s="1">
        <f t="shared" si="4"/>
        <v>6</v>
      </c>
      <c r="W15" s="1" t="str">
        <f t="shared" si="5"/>
        <v>Late Delivery</v>
      </c>
    </row>
    <row r="16" spans="2:23" x14ac:dyDescent="0.35">
      <c r="B16" s="1" t="s">
        <v>82</v>
      </c>
      <c r="C16" s="1" t="s">
        <v>83</v>
      </c>
      <c r="D16" s="1" t="s">
        <v>45</v>
      </c>
      <c r="E16" s="2">
        <v>45394</v>
      </c>
      <c r="F16" s="2">
        <v>45400</v>
      </c>
      <c r="G16" s="1" t="s">
        <v>84</v>
      </c>
      <c r="H16" s="1" t="s">
        <v>26</v>
      </c>
      <c r="I16" s="1" t="s">
        <v>103</v>
      </c>
      <c r="J16" s="3">
        <v>919876543218</v>
      </c>
      <c r="K16" s="1">
        <v>1700</v>
      </c>
      <c r="L16" s="1" t="str">
        <f t="shared" si="0"/>
        <v>Kiran</v>
      </c>
      <c r="M16" s="1" t="str">
        <v>Telangana</v>
      </c>
      <c r="N16" s="1" t="str">
        <f t="shared" si="6"/>
        <v>Shirt Blue</v>
      </c>
      <c r="O16" s="1" t="str">
        <f t="shared" si="1"/>
        <v>Apparel</v>
      </c>
      <c r="P16" s="1" t="str">
        <f t="shared" si="2"/>
        <v>kiran@gmail.com</v>
      </c>
      <c r="Q16" s="1" t="str">
        <f t="shared" si="3"/>
        <v>9876543218</v>
      </c>
      <c r="R16" s="1">
        <v>2024</v>
      </c>
      <c r="S16" s="1" t="str">
        <v>Apr</v>
      </c>
      <c r="T16" s="1" t="str">
        <v>12</v>
      </c>
      <c r="U16" s="1" t="str">
        <v>Fri</v>
      </c>
      <c r="V16" s="1">
        <f t="shared" si="4"/>
        <v>6</v>
      </c>
      <c r="W16" s="1" t="str">
        <f t="shared" si="5"/>
        <v>Late Delivery</v>
      </c>
    </row>
    <row r="17" spans="2:23" x14ac:dyDescent="0.35">
      <c r="B17" s="1" t="s">
        <v>85</v>
      </c>
      <c r="C17" s="1" t="s">
        <v>86</v>
      </c>
      <c r="D17" s="1" t="s">
        <v>34</v>
      </c>
      <c r="E17" s="2">
        <v>45432</v>
      </c>
      <c r="F17" s="2">
        <v>45437</v>
      </c>
      <c r="G17" s="1" t="s">
        <v>52</v>
      </c>
      <c r="H17" s="1" t="s">
        <v>26</v>
      </c>
      <c r="I17" s="1" t="s">
        <v>87</v>
      </c>
      <c r="J17" s="3">
        <v>9876543219</v>
      </c>
      <c r="K17" s="1">
        <v>2200</v>
      </c>
      <c r="L17" s="1" t="str">
        <f t="shared" si="0"/>
        <v>Meena</v>
      </c>
      <c r="M17" s="1" t="str">
        <v>Andhra Pradesh</v>
      </c>
      <c r="N17" s="1" t="str">
        <f t="shared" si="6"/>
        <v>Dress Pink</v>
      </c>
      <c r="O17" s="1" t="str">
        <f t="shared" si="1"/>
        <v>Apparel</v>
      </c>
      <c r="P17" s="1" t="str">
        <f t="shared" si="2"/>
        <v>meena@gamil.com</v>
      </c>
      <c r="Q17" s="1" t="str">
        <f t="shared" si="3"/>
        <v>9876543219</v>
      </c>
      <c r="R17" s="1">
        <v>2024</v>
      </c>
      <c r="S17" s="1" t="str">
        <v>May</v>
      </c>
      <c r="T17" s="1" t="str">
        <v>20</v>
      </c>
      <c r="U17" s="1" t="str">
        <v>Mon</v>
      </c>
      <c r="V17" s="1">
        <f t="shared" si="4"/>
        <v>5</v>
      </c>
      <c r="W17" s="1" t="str">
        <f t="shared" si="5"/>
        <v>On Time Delivery</v>
      </c>
    </row>
    <row r="18" spans="2:23" x14ac:dyDescent="0.35">
      <c r="B18" s="1" t="s">
        <v>88</v>
      </c>
      <c r="C18" s="1" t="s">
        <v>89</v>
      </c>
      <c r="D18" s="1" t="s">
        <v>24</v>
      </c>
      <c r="E18" s="2">
        <v>45444</v>
      </c>
      <c r="F18" s="2">
        <v>45449</v>
      </c>
      <c r="G18" s="1" t="s">
        <v>90</v>
      </c>
      <c r="H18" s="1" t="s">
        <v>26</v>
      </c>
      <c r="I18" s="1" t="s">
        <v>104</v>
      </c>
      <c r="J18" s="3">
        <v>9876543220</v>
      </c>
      <c r="K18" s="1">
        <v>1300</v>
      </c>
      <c r="L18" s="1" t="str">
        <f t="shared" si="0"/>
        <v>John</v>
      </c>
      <c r="M18" s="1" t="str">
        <v>Andhra Pradesh</v>
      </c>
      <c r="N18" s="1" t="str">
        <f t="shared" si="6"/>
        <v>Tshirt Blue</v>
      </c>
      <c r="O18" s="1" t="str">
        <f t="shared" si="1"/>
        <v>Apparel</v>
      </c>
      <c r="P18" s="1" t="str">
        <f t="shared" si="2"/>
        <v>john@gmail.com</v>
      </c>
      <c r="Q18" s="1" t="str">
        <f t="shared" si="3"/>
        <v>9876543220</v>
      </c>
      <c r="R18" s="1">
        <v>2024</v>
      </c>
      <c r="S18" s="1" t="str">
        <v>Jun</v>
      </c>
      <c r="T18" s="1" t="str">
        <v>01</v>
      </c>
      <c r="U18" s="1" t="str">
        <v>Sat</v>
      </c>
      <c r="V18" s="1">
        <f t="shared" si="4"/>
        <v>5</v>
      </c>
      <c r="W18" s="1" t="str">
        <f t="shared" si="5"/>
        <v>On Time Delivery</v>
      </c>
    </row>
    <row r="19" spans="2:23" x14ac:dyDescent="0.35">
      <c r="B19" s="1" t="s">
        <v>91</v>
      </c>
      <c r="C19" s="1" t="s">
        <v>92</v>
      </c>
      <c r="D19" s="1" t="s">
        <v>30</v>
      </c>
      <c r="E19" s="2">
        <v>45480</v>
      </c>
      <c r="F19" s="2">
        <v>45486</v>
      </c>
      <c r="G19" s="1" t="s">
        <v>59</v>
      </c>
      <c r="H19" s="1" t="s">
        <v>26</v>
      </c>
      <c r="I19" s="1" t="s">
        <v>93</v>
      </c>
      <c r="J19" s="3">
        <v>9876543221</v>
      </c>
      <c r="K19" s="1">
        <v>2700</v>
      </c>
      <c r="L19" s="1" t="str">
        <f t="shared" si="0"/>
        <v>Pooja</v>
      </c>
      <c r="M19" s="1" t="str">
        <v>Andhra Pradesh</v>
      </c>
      <c r="N19" s="1" t="str">
        <f t="shared" si="6"/>
        <v>Jeans Black</v>
      </c>
      <c r="O19" s="1" t="str">
        <f t="shared" si="1"/>
        <v>Apparel</v>
      </c>
      <c r="P19" s="1" t="str">
        <f t="shared" si="2"/>
        <v>pooja@gamil.com</v>
      </c>
      <c r="Q19" s="1" t="str">
        <f t="shared" si="3"/>
        <v>9876543221</v>
      </c>
      <c r="R19" s="1">
        <v>2024</v>
      </c>
      <c r="S19" s="1" t="str">
        <v>Jul</v>
      </c>
      <c r="T19" s="1" t="str">
        <v>07</v>
      </c>
      <c r="U19" s="1" t="str">
        <v>Sun</v>
      </c>
      <c r="V19" s="1">
        <f t="shared" si="4"/>
        <v>6</v>
      </c>
      <c r="W19" s="1" t="str">
        <f t="shared" si="5"/>
        <v>Late Delivery</v>
      </c>
    </row>
    <row r="20" spans="2:23" x14ac:dyDescent="0.35">
      <c r="B20" s="1" t="s">
        <v>94</v>
      </c>
      <c r="C20" s="1" t="s">
        <v>95</v>
      </c>
      <c r="D20" s="1" t="s">
        <v>51</v>
      </c>
      <c r="E20" s="2">
        <v>45512</v>
      </c>
      <c r="F20" s="2">
        <v>45518</v>
      </c>
      <c r="G20" s="1" t="s">
        <v>35</v>
      </c>
      <c r="H20" s="1" t="s">
        <v>36</v>
      </c>
      <c r="I20" s="1" t="s">
        <v>105</v>
      </c>
      <c r="J20" s="3">
        <v>9876543222</v>
      </c>
      <c r="K20" s="1">
        <v>3600</v>
      </c>
      <c r="L20" s="1" t="str">
        <f t="shared" si="0"/>
        <v>Vikram</v>
      </c>
      <c r="M20" s="1" t="str">
        <v>Telangana</v>
      </c>
      <c r="N20" s="1" t="str">
        <f t="shared" si="6"/>
        <v>Sneakers White</v>
      </c>
      <c r="O20" s="1" t="str">
        <f t="shared" si="1"/>
        <v>Footwear</v>
      </c>
      <c r="P20" s="1" t="str">
        <f t="shared" si="2"/>
        <v>vikram@gmail.com</v>
      </c>
      <c r="Q20" s="1" t="str">
        <f t="shared" si="3"/>
        <v>9876543222</v>
      </c>
      <c r="R20" s="1">
        <v>2024</v>
      </c>
      <c r="S20" s="1" t="str">
        <v>Aug</v>
      </c>
      <c r="T20" s="1" t="str">
        <v>08</v>
      </c>
      <c r="U20" s="1" t="str">
        <v>Thu</v>
      </c>
      <c r="V20" s="1">
        <f t="shared" si="4"/>
        <v>6</v>
      </c>
      <c r="W20" s="1" t="str">
        <f t="shared" si="5"/>
        <v>Late Delivery</v>
      </c>
    </row>
    <row r="21" spans="2:23" x14ac:dyDescent="0.35">
      <c r="B21" s="1" t="s">
        <v>96</v>
      </c>
      <c r="C21" s="1" t="s">
        <v>97</v>
      </c>
      <c r="D21" s="1" t="s">
        <v>45</v>
      </c>
      <c r="E21" s="2">
        <v>45544</v>
      </c>
      <c r="F21" s="2">
        <v>45550</v>
      </c>
      <c r="G21" s="1" t="s">
        <v>66</v>
      </c>
      <c r="H21" s="1" t="s">
        <v>26</v>
      </c>
      <c r="I21" s="1" t="s">
        <v>98</v>
      </c>
      <c r="J21" s="3">
        <v>919876543223</v>
      </c>
      <c r="K21" s="1">
        <v>2100</v>
      </c>
      <c r="L21" s="1" t="str">
        <f t="shared" si="0"/>
        <v>Kavya</v>
      </c>
      <c r="M21" s="1" t="str">
        <v>Telangana</v>
      </c>
      <c r="N21" s="1" t="str">
        <f t="shared" si="6"/>
        <v>Kurti Red</v>
      </c>
      <c r="O21" s="1" t="str">
        <f t="shared" si="1"/>
        <v>Apparel</v>
      </c>
      <c r="P21" s="1" t="str">
        <f t="shared" si="2"/>
        <v>kavya@gamil.com</v>
      </c>
      <c r="Q21" s="1" t="str">
        <f t="shared" si="3"/>
        <v>9876543223</v>
      </c>
      <c r="R21" s="1">
        <v>2024</v>
      </c>
      <c r="S21" s="1" t="str">
        <v>Sep</v>
      </c>
      <c r="T21" s="1" t="str">
        <v>09</v>
      </c>
      <c r="U21" s="1" t="str">
        <v>Mon</v>
      </c>
      <c r="V21" s="1">
        <f t="shared" si="4"/>
        <v>6</v>
      </c>
      <c r="W21" s="1" t="str">
        <f t="shared" si="5"/>
        <v>Late Delivery</v>
      </c>
    </row>
    <row r="22" spans="2:23" x14ac:dyDescent="0.35">
      <c r="J22" t="s">
        <v>100</v>
      </c>
      <c r="P22" s="1" t="str">
        <f t="shared" si="2"/>
        <v/>
      </c>
      <c r="Q22" s="1" t="str">
        <f t="shared" si="3"/>
        <v xml:space="preserve">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14</vt:i4>
      </vt:variant>
    </vt:vector>
  </HeadingPairs>
  <TitlesOfParts>
    <vt:vector size="17" baseType="lpstr">
      <vt:lpstr>Sheet</vt:lpstr>
      <vt:lpstr>Report_Refernce</vt:lpstr>
      <vt:lpstr>Dataset</vt:lpstr>
      <vt:lpstr>Category</vt:lpstr>
      <vt:lpstr>Cust_Name</vt:lpstr>
      <vt:lpstr>Dayname</vt:lpstr>
      <vt:lpstr>Delivery_Date</vt:lpstr>
      <vt:lpstr>Delivery_Status</vt:lpstr>
      <vt:lpstr>Email_ID</vt:lpstr>
      <vt:lpstr>Months</vt:lpstr>
      <vt:lpstr>Order_Date</vt:lpstr>
      <vt:lpstr>Order_ID</vt:lpstr>
      <vt:lpstr>Phone</vt:lpstr>
      <vt:lpstr>Product_Name</vt:lpstr>
      <vt:lpstr>Sales_data</vt:lpstr>
      <vt:lpstr>State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Usha Sabbavarapu</cp:lastModifiedBy>
  <dcterms:created xsi:type="dcterms:W3CDTF">2026-04-20T05:48:04Z</dcterms:created>
  <dcterms:modified xsi:type="dcterms:W3CDTF">2026-04-20T16:13:13Z</dcterms:modified>
</cp:coreProperties>
</file>