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996fd64186142c/Desktop/Data Analytics/"/>
    </mc:Choice>
  </mc:AlternateContent>
  <xr:revisionPtr revIDLastSave="0" documentId="8_{00A78F48-79D6-4E7E-9D51-85D8AD38636A}" xr6:coauthVersionLast="47" xr6:coauthVersionMax="47" xr10:uidLastSave="{00000000-0000-0000-0000-000000000000}"/>
  <bookViews>
    <workbookView xWindow="-110" yWindow="-110" windowWidth="19420" windowHeight="10300" xr2:uid="{F9F21380-7C68-4BE5-B048-58B290296517}"/>
  </bookViews>
  <sheets>
    <sheet name="Worksheet" sheetId="6" r:id="rId1"/>
  </sheets>
  <definedNames>
    <definedName name="_xlnm._FilterDatabase" localSheetId="0" hidden="1">Worksheet!$C$3:$H$13</definedName>
    <definedName name="Category">Worksheet!$F$4:$F$13</definedName>
    <definedName name="Date">Worksheet!$C$4:$C$13</definedName>
    <definedName name="Product">Worksheet!$E$4:$E$13</definedName>
    <definedName name="Region">Worksheet!$D$4:$D$13</definedName>
    <definedName name="Sales_Amount">Worksheet!$H$4:$H$13</definedName>
    <definedName name="Units_Sold">Worksheet!$G$4:$G$13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6" l="1"/>
  <c r="L21" i="6"/>
  <c r="L22" i="6"/>
  <c r="L20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</calcChain>
</file>

<file path=xl/sharedStrings.xml><?xml version="1.0" encoding="utf-8"?>
<sst xmlns="http://schemas.openxmlformats.org/spreadsheetml/2006/main" count="58" uniqueCount="40">
  <si>
    <t>Product</t>
  </si>
  <si>
    <t>Region</t>
  </si>
  <si>
    <t>North</t>
  </si>
  <si>
    <t>South</t>
  </si>
  <si>
    <t>East</t>
  </si>
  <si>
    <t>Date</t>
  </si>
  <si>
    <t>Category</t>
  </si>
  <si>
    <t>Units Sold</t>
  </si>
  <si>
    <t>Sales Amount</t>
  </si>
  <si>
    <t>TV</t>
  </si>
  <si>
    <t>Electronics</t>
  </si>
  <si>
    <t>Mobile</t>
  </si>
  <si>
    <t>Shirt</t>
  </si>
  <si>
    <t>Apparel</t>
  </si>
  <si>
    <t>Jeans</t>
  </si>
  <si>
    <t>West</t>
  </si>
  <si>
    <t>Laptop</t>
  </si>
  <si>
    <t>Shoes</t>
  </si>
  <si>
    <t>Total Units Sold overall</t>
  </si>
  <si>
    <t>Total Sales for "West" region</t>
  </si>
  <si>
    <t>Total Units Sold for "Shirt"</t>
  </si>
  <si>
    <t>Total Sales for "Apparel" category</t>
  </si>
  <si>
    <t>Total Sales for "TV" in "South"</t>
  </si>
  <si>
    <t>Total Units Sold for "Mobile" in "North"</t>
  </si>
  <si>
    <t>Total Sales in "South" for "Electronics" category</t>
  </si>
  <si>
    <t>Total Sales of 'Mobile' in 'Electronics' category, in 'North' region</t>
  </si>
  <si>
    <t>Total Units Sold of products in 'Apparel' category from 'East' region after 02-Jan-24</t>
  </si>
  <si>
    <t>Total Sales of 'TV' in 'South' or 'West' region in the 'Electronics' category</t>
  </si>
  <si>
    <t>Total Sales of 'TV' after 01-Jan-24 and less than 09-Jan-24 in the 'North' region</t>
  </si>
  <si>
    <t>Total Units Sold for 'Shirt' or 'Jeans' in 'Apparel' from 'East' or 'West'</t>
  </si>
  <si>
    <t>Total Sales for all products sold in 'Electronics' category, in 'South' region, between 01-Jan and 10-Jan</t>
  </si>
  <si>
    <t>Total Units Sold where: Region is 'North', Category is 'Apparel', Product is 'Jeans', and Date = 04-Jan-24</t>
  </si>
  <si>
    <t>Calculate total Sales</t>
  </si>
  <si>
    <t>Total Sales in North</t>
  </si>
  <si>
    <t>Total Units Sold for TV</t>
  </si>
  <si>
    <t>Total Sales for Electronics in South</t>
  </si>
  <si>
    <t>Total Units Sold for Apparel in East</t>
  </si>
  <si>
    <t>Sales Tracker</t>
  </si>
  <si>
    <t>Questions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</si>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</sst>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1" fillId="2" borderId="2" xfId="0" applyNumberFormat="1" applyFont="1" applyFill="1" applyBorder="1"/>
    <xf numFmtId="0" fontId="1" fillId="2" borderId="2" xfId="0" applyFont="1" applyFill="1" applyBorder="1"/>
    <xf numFmtId="14" fontId="1" fillId="2" borderId="6" xfId="0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2" borderId="1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C1E4-01B2-429B-AE2A-138813764838}">
  <dimension ref="C2:L22"/>
  <sheetViews>
    <sheetView tabSelected="1" topLeftCell="G3" zoomScale="98" zoomScaleNormal="98" workbookViewId="0">
      <selection activeCell="G16" sqref="G16"/>
    </sheetView>
  </sheetViews>
  <sheetFormatPr defaultRowHeight="14.5" x14ac:dyDescent="0.35"/>
  <cols>
    <col min="3" max="3" width="15.7265625" customWidth="1"/>
    <col min="4" max="4" width="13.54296875" customWidth="1"/>
    <col min="5" max="5" width="13.7265625" customWidth="1"/>
    <col min="6" max="6" width="15.7265625" customWidth="1"/>
    <col min="7" max="7" width="9.81640625" bestFit="1" customWidth="1"/>
    <col min="8" max="8" width="13.26953125" bestFit="1" customWidth="1"/>
    <col min="11" max="11" width="93" bestFit="1" customWidth="1"/>
    <col min="12" max="12" width="17.81640625" customWidth="1"/>
    <col min="13" max="13" width="11.6328125" customWidth="1"/>
  </cols>
  <sheetData>
    <row r="2" spans="3:12" x14ac:dyDescent="0.35">
      <c r="C2" s="10" t="s">
        <v>37</v>
      </c>
      <c r="D2" s="11"/>
      <c r="E2" s="11"/>
      <c r="F2" s="11"/>
      <c r="G2" s="11"/>
      <c r="H2" s="12"/>
    </row>
    <row r="3" spans="3:12" x14ac:dyDescent="0.35">
      <c r="C3" s="3" t="s">
        <v>5</v>
      </c>
      <c r="D3" s="4" t="s">
        <v>1</v>
      </c>
      <c r="E3" s="4" t="s">
        <v>0</v>
      </c>
      <c r="F3" s="4" t="s">
        <v>6</v>
      </c>
      <c r="G3" s="4" t="s">
        <v>7</v>
      </c>
      <c r="H3" s="4" t="s">
        <v>8</v>
      </c>
      <c r="K3" s="5" t="s">
        <v>38</v>
      </c>
      <c r="L3" s="9" t="s">
        <v>39</v>
      </c>
    </row>
    <row r="4" spans="3:12" x14ac:dyDescent="0.35">
      <c r="C4" s="2">
        <v>45292</v>
      </c>
      <c r="D4" s="1" t="s">
        <v>2</v>
      </c>
      <c r="E4" s="1" t="s">
        <v>9</v>
      </c>
      <c r="F4" s="1" t="s">
        <v>10</v>
      </c>
      <c r="G4" s="1">
        <v>10</v>
      </c>
      <c r="H4" s="1">
        <v>50000</v>
      </c>
      <c r="K4" s="6" t="s">
        <v>32</v>
      </c>
      <c r="L4" s="1">
        <f>SUM(Sales_Amount)</f>
        <v>372500</v>
      </c>
    </row>
    <row r="5" spans="3:12" x14ac:dyDescent="0.35">
      <c r="C5" s="2">
        <v>45293</v>
      </c>
      <c r="D5" s="1" t="s">
        <v>3</v>
      </c>
      <c r="E5" s="1" t="s">
        <v>11</v>
      </c>
      <c r="F5" s="1" t="s">
        <v>10</v>
      </c>
      <c r="G5" s="1">
        <v>25</v>
      </c>
      <c r="H5" s="1">
        <v>75000</v>
      </c>
      <c r="K5" s="6" t="s">
        <v>33</v>
      </c>
      <c r="L5" s="1">
        <f>SUMIF(Region,"North",Sales_Amount)</f>
        <v>130000</v>
      </c>
    </row>
    <row r="6" spans="3:12" x14ac:dyDescent="0.35">
      <c r="C6" s="2">
        <v>45294</v>
      </c>
      <c r="D6" s="1" t="s">
        <v>4</v>
      </c>
      <c r="E6" s="1" t="s">
        <v>12</v>
      </c>
      <c r="F6" s="1" t="s">
        <v>13</v>
      </c>
      <c r="G6" s="1">
        <v>50</v>
      </c>
      <c r="H6" s="1">
        <v>15000</v>
      </c>
      <c r="K6" s="6" t="s">
        <v>34</v>
      </c>
      <c r="L6" s="1">
        <f>SUMIF(Product,"TV",Units_Sold)</f>
        <v>23</v>
      </c>
    </row>
    <row r="7" spans="3:12" x14ac:dyDescent="0.35">
      <c r="C7" s="2">
        <v>45295</v>
      </c>
      <c r="D7" s="1" t="s">
        <v>2</v>
      </c>
      <c r="E7" s="1" t="s">
        <v>14</v>
      </c>
      <c r="F7" s="1" t="s">
        <v>13</v>
      </c>
      <c r="G7" s="1">
        <v>40</v>
      </c>
      <c r="H7" s="1">
        <v>20000</v>
      </c>
      <c r="K7" s="6" t="s">
        <v>35</v>
      </c>
      <c r="L7" s="1">
        <f>SUMIFS(Sales_Amount,Category,"Electronics",Region,"South")</f>
        <v>171000</v>
      </c>
    </row>
    <row r="8" spans="3:12" x14ac:dyDescent="0.35">
      <c r="C8" s="2">
        <v>45296</v>
      </c>
      <c r="D8" s="1" t="s">
        <v>15</v>
      </c>
      <c r="E8" s="1" t="s">
        <v>9</v>
      </c>
      <c r="F8" s="1" t="s">
        <v>10</v>
      </c>
      <c r="G8" s="1">
        <v>5</v>
      </c>
      <c r="H8" s="1">
        <v>25000</v>
      </c>
      <c r="K8" s="7" t="s">
        <v>36</v>
      </c>
      <c r="L8" s="1">
        <f>SUMIFS(Units_Sold,Category,"Apparel",Region,"East")</f>
        <v>80</v>
      </c>
    </row>
    <row r="9" spans="3:12" x14ac:dyDescent="0.35">
      <c r="C9" s="2">
        <v>45297</v>
      </c>
      <c r="D9" s="1" t="s">
        <v>3</v>
      </c>
      <c r="E9" s="1" t="s">
        <v>16</v>
      </c>
      <c r="F9" s="1" t="s">
        <v>10</v>
      </c>
      <c r="G9" s="1">
        <v>7</v>
      </c>
      <c r="H9" s="1">
        <v>56000</v>
      </c>
      <c r="K9" s="8" t="s">
        <v>18</v>
      </c>
      <c r="L9" s="1">
        <f>SUM(Units_Sold)</f>
        <v>240</v>
      </c>
    </row>
    <row r="10" spans="3:12" x14ac:dyDescent="0.35">
      <c r="C10" s="2">
        <v>45298</v>
      </c>
      <c r="D10" s="1" t="s">
        <v>4</v>
      </c>
      <c r="E10" s="1" t="s">
        <v>17</v>
      </c>
      <c r="F10" s="1" t="s">
        <v>13</v>
      </c>
      <c r="G10" s="1">
        <v>30</v>
      </c>
      <c r="H10" s="1">
        <v>18000</v>
      </c>
      <c r="K10" s="8" t="s">
        <v>19</v>
      </c>
      <c r="L10" s="1">
        <f>SUMIF(Region,"West",Sales_Amount)</f>
        <v>38500</v>
      </c>
    </row>
    <row r="11" spans="3:12" x14ac:dyDescent="0.35">
      <c r="C11" s="2">
        <v>45299</v>
      </c>
      <c r="D11" s="1" t="s">
        <v>2</v>
      </c>
      <c r="E11" s="1" t="s">
        <v>11</v>
      </c>
      <c r="F11" s="1" t="s">
        <v>10</v>
      </c>
      <c r="G11" s="1">
        <v>20</v>
      </c>
      <c r="H11" s="1">
        <v>60000</v>
      </c>
      <c r="K11" s="8" t="s">
        <v>20</v>
      </c>
      <c r="L11" s="1">
        <f>SUMIF(Product,"Shirt",Units_Sold)</f>
        <v>95</v>
      </c>
    </row>
    <row r="12" spans="3:12" x14ac:dyDescent="0.35">
      <c r="C12" s="2">
        <v>45300</v>
      </c>
      <c r="D12" s="1" t="s">
        <v>15</v>
      </c>
      <c r="E12" s="1" t="s">
        <v>12</v>
      </c>
      <c r="F12" s="1" t="s">
        <v>13</v>
      </c>
      <c r="G12" s="1">
        <v>45</v>
      </c>
      <c r="H12" s="1">
        <v>13500</v>
      </c>
      <c r="K12" s="8" t="s">
        <v>21</v>
      </c>
      <c r="L12" s="1">
        <f>SUMIF(Category,"Apparel",Sales_Amount)</f>
        <v>66500</v>
      </c>
    </row>
    <row r="13" spans="3:12" x14ac:dyDescent="0.35">
      <c r="C13" s="2">
        <v>45301</v>
      </c>
      <c r="D13" s="1" t="s">
        <v>3</v>
      </c>
      <c r="E13" s="1" t="s">
        <v>9</v>
      </c>
      <c r="F13" s="1" t="s">
        <v>10</v>
      </c>
      <c r="G13" s="1">
        <v>8</v>
      </c>
      <c r="H13" s="1">
        <v>40000</v>
      </c>
      <c r="K13" s="8" t="s">
        <v>22</v>
      </c>
      <c r="L13" s="1">
        <f>SUMIFS(Sales_Amount,Product,"Tv",Region,"South")</f>
        <v>40000</v>
      </c>
    </row>
    <row r="14" spans="3:12" x14ac:dyDescent="0.35">
      <c r="K14" s="8" t="s">
        <v>23</v>
      </c>
      <c r="L14" s="1">
        <f>SUMIFS(Units_Sold,Product,"Mobile",Region,"North")</f>
        <v>20</v>
      </c>
    </row>
    <row r="15" spans="3:12" x14ac:dyDescent="0.35">
      <c r="K15" s="8" t="s">
        <v>24</v>
      </c>
      <c r="L15" s="1">
        <f>SUMIFS(Sales_Amount,Region,"South",Category,"Electronics")</f>
        <v>171000</v>
      </c>
    </row>
    <row r="16" spans="3:12" x14ac:dyDescent="0.35">
      <c r="K16" s="8" t="s">
        <v>25</v>
      </c>
      <c r="L16" s="1">
        <f>SUMIFS(Sales_Amount,Product,"Mobile",Category,"Electronics",Region,"North")</f>
        <v>60000</v>
      </c>
    </row>
    <row r="17" spans="11:12" x14ac:dyDescent="0.35">
      <c r="K17" s="8" t="s">
        <v>26</v>
      </c>
      <c r="L17" s="1">
        <f>SUMIFS(Units_Sold,Category,"Apparel",Region,"East",Date,"&gt;02-Jan-24")</f>
        <v>80</v>
      </c>
    </row>
    <row r="18" spans="11:12" x14ac:dyDescent="0.35">
      <c r="K18" s="8" t="s">
        <v>27</v>
      </c>
      <c r="L18" s="1">
        <f>SUMIFS(Sales_Amount,Product,"TV",Region,"South",Category,"Electronics")+SUMIFS(Sales_Amount,Product,"TV",Region,"West",Category,"Electronics")</f>
        <v>65000</v>
      </c>
    </row>
    <row r="19" spans="11:12" x14ac:dyDescent="0.35">
      <c r="K19" s="8" t="s">
        <v>28</v>
      </c>
      <c r="L19" s="1">
        <f>SUMIFS(Sales_Amount,Product,"TV",Date,"&gt;01-Jan-24",Region,"North")+SUMIFS(Sales_Amount,Product,"TV",Date,"&lt;09-Jan-24",Region,"North")</f>
        <v>50000</v>
      </c>
    </row>
    <row r="20" spans="11:12" x14ac:dyDescent="0.35">
      <c r="K20" s="8" t="s">
        <v>29</v>
      </c>
      <c r="L20" s="1">
        <f>SUMIFS(Units_Sold,Product,"Shirt",Category,"Apparel",Region,"East")+SUMIFS(Units_Sold,Product,"Shirt",Category,"Apparel",Region,"West  ")+SUMIFS(Units_Sold,Product,"Jeans",Category,"Apparel",Region,"East")+SUMIFS(Units_Sold,Product,"Jeans",Category,"Apparel",Region,"West  ")</f>
        <v>50</v>
      </c>
    </row>
    <row r="21" spans="11:12" x14ac:dyDescent="0.35">
      <c r="K21" s="8" t="s">
        <v>30</v>
      </c>
      <c r="L21" s="1">
        <f>SUMIFS(Sales_Amount,Category,"Electronics",Region,"South", Date,"&gt;=01-Jan-2024",Date,"&lt;=10-Jan-2024")</f>
        <v>171000</v>
      </c>
    </row>
    <row r="22" spans="11:12" x14ac:dyDescent="0.35">
      <c r="K22" s="8" t="s">
        <v>31</v>
      </c>
      <c r="L22" s="1">
        <f>SUMIFS(Units_Sold,Region,"North",Category,"Apparel",Product,"Jeans",Date,"=04-Jan-24")</f>
        <v>40</v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Worksheet</vt:lpstr>
      <vt:lpstr>Category</vt:lpstr>
      <vt:lpstr>Date</vt:lpstr>
      <vt:lpstr>Product</vt:lpstr>
      <vt:lpstr>Region</vt:lpstr>
      <vt:lpstr>Sales_Amount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Usha Sabbavarapu</cp:lastModifiedBy>
  <dcterms:created xsi:type="dcterms:W3CDTF">2025-07-26T13:09:28Z</dcterms:created>
  <dcterms:modified xsi:type="dcterms:W3CDTF">2026-04-15T12:10:22Z</dcterms:modified>
</cp:coreProperties>
</file>